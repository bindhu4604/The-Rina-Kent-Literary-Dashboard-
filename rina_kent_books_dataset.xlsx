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data_analyst\Projects\excel\rina_project\"/>
    </mc:Choice>
  </mc:AlternateContent>
  <xr:revisionPtr revIDLastSave="0" documentId="13_ncr:1_{F44289FD-8DE5-4D91-AB4F-CC4CE0852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  <sheet name="dataset" sheetId="1" r:id="rId2"/>
  </sheets>
  <calcPr calcId="124519"/>
  <pivotCaches>
    <pivotCache cacheId="40" r:id="rId3"/>
  </pivotCaches>
</workbook>
</file>

<file path=xl/sharedStrings.xml><?xml version="1.0" encoding="utf-8"?>
<sst xmlns="http://schemas.openxmlformats.org/spreadsheetml/2006/main" count="191" uniqueCount="77">
  <si>
    <t>series</t>
  </si>
  <si>
    <t>order_in_series</t>
  </si>
  <si>
    <t>title</t>
  </si>
  <si>
    <t>publication_year</t>
  </si>
  <si>
    <t>avg_rating</t>
  </si>
  <si>
    <t>num_reviews</t>
  </si>
  <si>
    <t>sales_units</t>
  </si>
  <si>
    <t>sentiment_score</t>
  </si>
  <si>
    <t>genre</t>
  </si>
  <si>
    <t>sales_category</t>
  </si>
  <si>
    <t>Royal Elite</t>
  </si>
  <si>
    <t>Kingdom Duet</t>
  </si>
  <si>
    <t>Lies &amp; Truths Duet</t>
  </si>
  <si>
    <t>Thorns Duet</t>
  </si>
  <si>
    <t>Throne Duet</t>
  </si>
  <si>
    <t>Empire</t>
  </si>
  <si>
    <t>Deception Trilogy</t>
  </si>
  <si>
    <t>Monster Trilogy</t>
  </si>
  <si>
    <t>Legacy of Gods</t>
  </si>
  <si>
    <t>Villain</t>
  </si>
  <si>
    <t>Vipers</t>
  </si>
  <si>
    <t>Cruel King</t>
  </si>
  <si>
    <t>Deviant King</t>
  </si>
  <si>
    <t>Steel Princess</t>
  </si>
  <si>
    <t>Twisted Kingdom</t>
  </si>
  <si>
    <t>Black Knight</t>
  </si>
  <si>
    <t>Vicious Prince</t>
  </si>
  <si>
    <t>Ruthless Empire</t>
  </si>
  <si>
    <t>Royal Elite Epilogue</t>
  </si>
  <si>
    <t>Rule of a Kingdom</t>
  </si>
  <si>
    <t>Reign of a King</t>
  </si>
  <si>
    <t>Rise of a Queen</t>
  </si>
  <si>
    <t>All the Lies</t>
  </si>
  <si>
    <t>All the Truths</t>
  </si>
  <si>
    <t>Red Thorns</t>
  </si>
  <si>
    <t>Black Thorns</t>
  </si>
  <si>
    <t>Throne of Power</t>
  </si>
  <si>
    <t>Throne of Vengeance</t>
  </si>
  <si>
    <t>Empire of Desire</t>
  </si>
  <si>
    <t>Empire of Sin</t>
  </si>
  <si>
    <t>Empire of Hate</t>
  </si>
  <si>
    <t>Empire of Lust</t>
  </si>
  <si>
    <t>Vow of Deception</t>
  </si>
  <si>
    <t>Tempted by Deception</t>
  </si>
  <si>
    <t>Consumed by Deception</t>
  </si>
  <si>
    <t>Blood of My Monster</t>
  </si>
  <si>
    <t>Lies of My Monster</t>
  </si>
  <si>
    <t>Heart of My Monster</t>
  </si>
  <si>
    <t>God of Malice</t>
  </si>
  <si>
    <t>God of Pain</t>
  </si>
  <si>
    <t>God of Wrath</t>
  </si>
  <si>
    <t>God of Ruin</t>
  </si>
  <si>
    <t>God of Fury</t>
  </si>
  <si>
    <t>God of War</t>
  </si>
  <si>
    <t>Kiss the Villain</t>
  </si>
  <si>
    <t>Hunt the Villain</t>
  </si>
  <si>
    <t>Beautiful Venom</t>
  </si>
  <si>
    <t>Sweet Venom</t>
  </si>
  <si>
    <t>Tempting Venom</t>
  </si>
  <si>
    <t>Dark Romance</t>
  </si>
  <si>
    <t>Romantic Suspense</t>
  </si>
  <si>
    <t>Dark Billionaire Romance</t>
  </si>
  <si>
    <t>Dark Mafia Romance</t>
  </si>
  <si>
    <t>Dark College Romance</t>
  </si>
  <si>
    <t>Best Seller</t>
  </si>
  <si>
    <t>Good Performer</t>
  </si>
  <si>
    <t>Average</t>
  </si>
  <si>
    <t>Low Performer</t>
  </si>
  <si>
    <t xml:space="preserve"> </t>
  </si>
  <si>
    <t>Avg sales</t>
  </si>
  <si>
    <t xml:space="preserve">Series </t>
  </si>
  <si>
    <t>Publication year</t>
  </si>
  <si>
    <t xml:space="preserve">Sales  </t>
  </si>
  <si>
    <t>Total reviews</t>
  </si>
  <si>
    <t xml:space="preserve">Total sales </t>
  </si>
  <si>
    <t>Title</t>
  </si>
  <si>
    <t xml:space="preserve">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</si>
</sst>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Arial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0" fillId="3" borderId="0" xfId="0" applyFill="1"/>
    <xf numFmtId="0" fontId="5" fillId="3" borderId="0" xfId="0" applyFont="1" applyFill="1"/>
    <xf numFmtId="0" fontId="3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vertical="center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vertical="center"/>
    </xf>
  </cellXfs>
  <cellStyles count="1">
    <cellStyle name="Normal" xfId="0" builtinId="0"/>
  </cellStyles>
  <dxfs count="249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numFmt numFmtId="1" formatCode="0"/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vertical="center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font>
        <name val="Times New Roman"/>
        <family val="1"/>
        <scheme val="none"/>
      </font>
    </dxf>
    <dxf>
      <font>
        <sz val="1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[rina_kent_books_dataset.xlsx]dashboard!PivotTable6</c:name>
    <c:fmtId val="18"/>
  </c:pivotSource>
  <c:chart>
    <c:autoTitleDeleted val="1"/>
    <c:pivotFmts>
      <c:pivotFmt>
        <c:idx val="0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dashboard!$G$4:$G$9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dashboard!$H$4:$H$9</c:f>
              <c:numCache>
                <c:formatCode>General</c:formatCode>
                <c:ptCount val="6"/>
                <c:pt idx="0">
                  <c:v>325000</c:v>
                </c:pt>
                <c:pt idx="1">
                  <c:v>550000</c:v>
                </c:pt>
                <c:pt idx="2">
                  <c:v>898000</c:v>
                </c:pt>
                <c:pt idx="3">
                  <c:v>592000</c:v>
                </c:pt>
                <c:pt idx="4">
                  <c:v>515000</c:v>
                </c:pt>
                <c:pt idx="5">
                  <c:v>118000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0-43B7-AEC6-EFD673FA37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0784127"/>
        <c:axId val="1110783647"/>
      </c:lineChart>
      <c:catAx>
        <c:axId val="111078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3647"/>
        <c:crosses val="autoZero"/>
        <c:auto val="1"/>
        <c:lblAlgn val="ctr"/>
        <c:lblOffset val="100"/>
        <c:noMultiLvlLbl val="0"/>
      </c:catAx>
      <c:valAx>
        <c:axId val="111078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[rina_kent_books_dataset.xlsx]dashboard!PivotTable4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dashboard!$B$9:$B$10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dashboard!$A$11:$A$15</c:f>
              <c:strCache>
                <c:ptCount val="5"/>
                <c:pt idx="0">
                  <c:v>Dark Billionaire Romance</c:v>
                </c:pt>
                <c:pt idx="1">
                  <c:v>Dark College Romance</c:v>
                </c:pt>
                <c:pt idx="2">
                  <c:v>Dark Mafia Romance</c:v>
                </c:pt>
                <c:pt idx="3">
                  <c:v>Dark Romance</c:v>
                </c:pt>
                <c:pt idx="4">
                  <c:v>Romantic Suspense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2-4A34-9165-C8CC3ED845FC}"/>
            </c:ext>
          </c:extLst>
        </c:ser>
        <c:ser>
          <c:idx val="1"/>
          <c:order val="1"/>
          <c:tx>
            <c:strRef>
              <c:f>dashboard!$C$9:$C$10</c:f>
              <c:strCache>
                <c:ptCount val="1"/>
                <c:pt idx="0">
                  <c:v>Best Seller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dashboard!$A$11:$A$15</c:f>
              <c:strCache>
                <c:ptCount val="5"/>
                <c:pt idx="0">
                  <c:v>Dark Billionaire Romance</c:v>
                </c:pt>
                <c:pt idx="1">
                  <c:v>Dark College Romance</c:v>
                </c:pt>
                <c:pt idx="2">
                  <c:v>Dark Mafia Romance</c:v>
                </c:pt>
                <c:pt idx="3">
                  <c:v>Dark Romance</c:v>
                </c:pt>
                <c:pt idx="4">
                  <c:v>Romantic Suspense</c:v>
                </c:pt>
              </c:strCache>
            </c:strRef>
          </c:cat>
          <c:val>
            <c:numRef>
              <c:f>dashboard!$C$11:$C$15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792-4A34-9165-C8CC3ED845FC}"/>
            </c:ext>
          </c:extLst>
        </c:ser>
        <c:ser>
          <c:idx val="2"/>
          <c:order val="2"/>
          <c:tx>
            <c:strRef>
              <c:f>dashboard!$D$9:$D$10</c:f>
              <c:strCache>
                <c:ptCount val="1"/>
                <c:pt idx="0">
                  <c:v>Good Performer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dashboard!$A$11:$A$15</c:f>
              <c:strCache>
                <c:ptCount val="5"/>
                <c:pt idx="0">
                  <c:v>Dark Billionaire Romance</c:v>
                </c:pt>
                <c:pt idx="1">
                  <c:v>Dark College Romance</c:v>
                </c:pt>
                <c:pt idx="2">
                  <c:v>Dark Mafia Romance</c:v>
                </c:pt>
                <c:pt idx="3">
                  <c:v>Dark Romance</c:v>
                </c:pt>
                <c:pt idx="4">
                  <c:v>Romantic Suspense</c:v>
                </c:pt>
              </c:strCache>
            </c:strRef>
          </c:cat>
          <c:val>
            <c:numRef>
              <c:f>dashboard!$D$11:$D$15</c:f>
              <c:numCache>
                <c:formatCode>General</c:formatCode>
                <c:ptCount val="5"/>
                <c:pt idx="0">
                  <c:v>2</c:v>
                </c:pt>
                <c:pt idx="3">
                  <c:v>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792-4A34-9165-C8CC3ED845FC}"/>
            </c:ext>
          </c:extLst>
        </c:ser>
        <c:ser>
          <c:idx val="3"/>
          <c:order val="3"/>
          <c:tx>
            <c:strRef>
              <c:f>dashboard!$E$9:$E$10</c:f>
              <c:strCache>
                <c:ptCount val="1"/>
                <c:pt idx="0">
                  <c:v>Low Performer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dashboard!$A$11:$A$15</c:f>
              <c:strCache>
                <c:ptCount val="5"/>
                <c:pt idx="0">
                  <c:v>Dark Billionaire Romance</c:v>
                </c:pt>
                <c:pt idx="1">
                  <c:v>Dark College Romance</c:v>
                </c:pt>
                <c:pt idx="2">
                  <c:v>Dark Mafia Romance</c:v>
                </c:pt>
                <c:pt idx="3">
                  <c:v>Dark Romance</c:v>
                </c:pt>
                <c:pt idx="4">
                  <c:v>Romantic Suspense</c:v>
                </c:pt>
              </c:strCache>
            </c:strRef>
          </c:cat>
          <c:val>
            <c:numRef>
              <c:f>dashboard!$E$11:$E$15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792-4A34-9165-C8CC3ED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480959"/>
        <c:axId val="1156475679"/>
      </c:barChart>
      <c:catAx>
        <c:axId val="11564809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475679"/>
        <c:crosses val="autoZero"/>
        <c:auto val="1"/>
        <c:lblAlgn val="ctr"/>
        <c:lblOffset val="100"/>
        <c:noMultiLvlLbl val="0"/>
      </c:catAx>
      <c:valAx>
        <c:axId val="1156475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48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2</xdr:row>
      <xdr:rowOff>15240</xdr:rowOff>
    </xdr:from>
    <xdr:to>
      <xdr:col>14</xdr:col>
      <xdr:colOff>106680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056E2-A795-B3B4-B223-70E2F2B39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9292</xdr:rowOff>
    </xdr:from>
    <xdr:to>
      <xdr:col>7</xdr:col>
      <xdr:colOff>650488</xdr:colOff>
      <xdr:row>28</xdr:row>
      <xdr:rowOff>120805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78A780-FF07-4E90-B2C8-4A5D8D20F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7.542126504632" createdVersion="8" refreshedVersion="8" minRefreshableVersion="3" recordCount="38" xr:uid="{31F225C9-DA91-43FC-9F3A-9E4310AA8490}">
  <cacheSource type="worksheet">
    <worksheetSource name="Table1"/>
  </cacheSource>
  <cacheFields count="10">
    <cacheField name="series" numFmtId="0">
      <sharedItems count="11">
        <s v="Royal Elite"/>
        <s v="Kingdom Duet"/>
        <s v="Lies &amp; Truths Duet"/>
        <s v="Thorns Duet"/>
        <s v="Throne Duet"/>
        <s v="Empire"/>
        <s v="Deception Trilogy"/>
        <s v="Monster Trilogy"/>
        <s v="Legacy of Gods"/>
        <s v="Villain"/>
        <s v="Vipers"/>
      </sharedItems>
    </cacheField>
    <cacheField name="order_in_series" numFmtId="0">
      <sharedItems containsSemiMixedTypes="0" containsString="0" containsNumber="1" minValue="0" maxValue="6.5"/>
    </cacheField>
    <cacheField name="title" numFmtId="0">
      <sharedItems count="38">
        <s v="Cruel King"/>
        <s v="Deviant King"/>
        <s v="Steel Princess"/>
        <s v="Twisted Kingdom"/>
        <s v="Black Knight"/>
        <s v="Vicious Prince"/>
        <s v="Ruthless Empire"/>
        <s v="Royal Elite Epilogue"/>
        <s v="Rule of a Kingdom"/>
        <s v="Reign of a King"/>
        <s v="Rise of a Queen"/>
        <s v="All the Lies"/>
        <s v="All the Truths"/>
        <s v="Red Thorns"/>
        <s v="Black Thorns"/>
        <s v="Throne of Power"/>
        <s v="Throne of Vengeance"/>
        <s v="Empire of Desire"/>
        <s v="Empire of Sin"/>
        <s v="Empire of Hate"/>
        <s v="Empire of Lust"/>
        <s v="Vow of Deception"/>
        <s v="Tempted by Deception"/>
        <s v="Consumed by Deception"/>
        <s v="Blood of My Monster"/>
        <s v="Lies of My Monster"/>
        <s v="Heart of My Monster"/>
        <s v="God of Malice"/>
        <s v="God of Pain"/>
        <s v="God of Wrath"/>
        <s v="God of Ruin"/>
        <s v="God of Fury"/>
        <s v="God of War"/>
        <s v="Kiss the Villain"/>
        <s v="Hunt the Villain"/>
        <s v="Beautiful Venom"/>
        <s v="Sweet Venom"/>
        <s v="Tempting Venom"/>
      </sharedItems>
    </cacheField>
    <cacheField name="publication_year" numFmtId="0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avg_rating" numFmtId="0">
      <sharedItems containsSemiMixedTypes="0" containsString="0" containsNumber="1" minValue="3.9" maxValue="4.7"/>
    </cacheField>
    <cacheField name="num_reviews" numFmtId="0">
      <sharedItems containsSemiMixedTypes="0" containsString="0" containsNumber="1" containsInteger="1" minValue="6400" maxValue="15600"/>
    </cacheField>
    <cacheField name="sales_units" numFmtId="0">
      <sharedItems containsSemiMixedTypes="0" containsString="0" containsNumber="1" containsInteger="1" minValue="55000" maxValue="120000"/>
    </cacheField>
    <cacheField name="sentiment_score" numFmtId="0">
      <sharedItems containsSemiMixedTypes="0" containsString="0" containsNumber="1" minValue="0.65" maxValue="0.89"/>
    </cacheField>
    <cacheField name="genre" numFmtId="0">
      <sharedItems count="5">
        <s v="Dark Romance"/>
        <s v="Romantic Suspense"/>
        <s v="Dark Billionaire Romance"/>
        <s v="Dark Mafia Romance"/>
        <s v="Dark College Romance"/>
      </sharedItems>
    </cacheField>
    <cacheField name="sales_category" numFmtId="0">
      <sharedItems count="4">
        <s v="Best Seller"/>
        <s v="Good Performer"/>
        <s v="Average"/>
        <s v="Low Performer"/>
      </sharedItems>
    </cacheField>
  </cacheFields>
  <extLst>
    <ext xmlns:x14="http://schemas.microsoft.com/office/spreadsheetml/2009/9/main" uri="{725AE2AE-9491-48be-B2B4-4EB974FC3084}">
      <x14:pivotCacheDefinition pivotCacheId="3283421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0"/>
    <x v="0"/>
    <x v="0"/>
    <n v="4.3"/>
    <n v="12500"/>
    <n v="95000"/>
    <n v="0.8"/>
    <x v="0"/>
    <x v="0"/>
  </r>
  <r>
    <x v="0"/>
    <n v="1"/>
    <x v="1"/>
    <x v="0"/>
    <n v="4.5999999999999996"/>
    <n v="15600"/>
    <n v="120000"/>
    <n v="0.85"/>
    <x v="0"/>
    <x v="0"/>
  </r>
  <r>
    <x v="0"/>
    <n v="2"/>
    <x v="2"/>
    <x v="0"/>
    <n v="4.4000000000000004"/>
    <n v="13200"/>
    <n v="110000"/>
    <n v="0.82"/>
    <x v="0"/>
    <x v="0"/>
  </r>
  <r>
    <x v="0"/>
    <n v="3"/>
    <x v="3"/>
    <x v="1"/>
    <n v="4.5"/>
    <n v="14000"/>
    <n v="112000"/>
    <n v="0.83"/>
    <x v="0"/>
    <x v="0"/>
  </r>
  <r>
    <x v="0"/>
    <n v="4"/>
    <x v="4"/>
    <x v="1"/>
    <n v="4.0999999999999996"/>
    <n v="9200"/>
    <n v="87000"/>
    <n v="0.78"/>
    <x v="0"/>
    <x v="1"/>
  </r>
  <r>
    <x v="0"/>
    <n v="5"/>
    <x v="5"/>
    <x v="1"/>
    <n v="4.3"/>
    <n v="10100"/>
    <n v="91000"/>
    <n v="0.8"/>
    <x v="0"/>
    <x v="1"/>
  </r>
  <r>
    <x v="0"/>
    <n v="6"/>
    <x v="6"/>
    <x v="2"/>
    <n v="4.5"/>
    <n v="12800"/>
    <n v="97000"/>
    <n v="0.84"/>
    <x v="0"/>
    <x v="0"/>
  </r>
  <r>
    <x v="0"/>
    <n v="6.5"/>
    <x v="7"/>
    <x v="1"/>
    <n v="4"/>
    <n v="8500"/>
    <n v="75000"/>
    <n v="0.75"/>
    <x v="0"/>
    <x v="2"/>
  </r>
  <r>
    <x v="1"/>
    <n v="0.5"/>
    <x v="8"/>
    <x v="1"/>
    <n v="3.9"/>
    <n v="6400"/>
    <n v="55000"/>
    <n v="0.65"/>
    <x v="1"/>
    <x v="3"/>
  </r>
  <r>
    <x v="1"/>
    <n v="1"/>
    <x v="9"/>
    <x v="2"/>
    <n v="4.2"/>
    <n v="8900"/>
    <n v="76000"/>
    <n v="0.77"/>
    <x v="1"/>
    <x v="1"/>
  </r>
  <r>
    <x v="1"/>
    <n v="2"/>
    <x v="10"/>
    <x v="2"/>
    <n v="4.3"/>
    <n v="9100"/>
    <n v="78000"/>
    <n v="0.79"/>
    <x v="1"/>
    <x v="1"/>
  </r>
  <r>
    <x v="2"/>
    <n v="1"/>
    <x v="11"/>
    <x v="1"/>
    <n v="4"/>
    <n v="7000"/>
    <n v="63000"/>
    <n v="0.72"/>
    <x v="0"/>
    <x v="2"/>
  </r>
  <r>
    <x v="2"/>
    <n v="2"/>
    <x v="12"/>
    <x v="1"/>
    <n v="4.2"/>
    <n v="7400"/>
    <n v="67000"/>
    <n v="0.76"/>
    <x v="0"/>
    <x v="1"/>
  </r>
  <r>
    <x v="3"/>
    <n v="1"/>
    <x v="13"/>
    <x v="2"/>
    <n v="4.4000000000000004"/>
    <n v="9800"/>
    <n v="82000"/>
    <n v="0.81"/>
    <x v="0"/>
    <x v="0"/>
  </r>
  <r>
    <x v="3"/>
    <n v="2"/>
    <x v="14"/>
    <x v="2"/>
    <n v="4.5"/>
    <n v="10400"/>
    <n v="88000"/>
    <n v="0.84"/>
    <x v="0"/>
    <x v="0"/>
  </r>
  <r>
    <x v="4"/>
    <n v="1"/>
    <x v="15"/>
    <x v="2"/>
    <n v="4.2"/>
    <n v="8700"/>
    <n v="75000"/>
    <n v="0.78"/>
    <x v="1"/>
    <x v="1"/>
  </r>
  <r>
    <x v="4"/>
    <n v="2"/>
    <x v="16"/>
    <x v="2"/>
    <n v="4.0999999999999996"/>
    <n v="8600"/>
    <n v="73000"/>
    <n v="0.77"/>
    <x v="1"/>
    <x v="1"/>
  </r>
  <r>
    <x v="5"/>
    <n v="1"/>
    <x v="17"/>
    <x v="2"/>
    <n v="4.3"/>
    <n v="9500"/>
    <n v="80000"/>
    <n v="0.81"/>
    <x v="2"/>
    <x v="1"/>
  </r>
  <r>
    <x v="5"/>
    <n v="2"/>
    <x v="18"/>
    <x v="3"/>
    <n v="4.4000000000000004"/>
    <n v="10300"/>
    <n v="87000"/>
    <n v="0.83"/>
    <x v="2"/>
    <x v="0"/>
  </r>
  <r>
    <x v="5"/>
    <n v="3"/>
    <x v="19"/>
    <x v="3"/>
    <n v="4.5"/>
    <n v="10900"/>
    <n v="92000"/>
    <n v="0.85"/>
    <x v="2"/>
    <x v="0"/>
  </r>
  <r>
    <x v="5"/>
    <n v="4"/>
    <x v="20"/>
    <x v="3"/>
    <n v="4.0999999999999996"/>
    <n v="8900"/>
    <n v="76000"/>
    <n v="0.78"/>
    <x v="2"/>
    <x v="1"/>
  </r>
  <r>
    <x v="6"/>
    <n v="1"/>
    <x v="21"/>
    <x v="2"/>
    <n v="4.2"/>
    <n v="9700"/>
    <n v="86000"/>
    <n v="0.8"/>
    <x v="0"/>
    <x v="1"/>
  </r>
  <r>
    <x v="6"/>
    <n v="2"/>
    <x v="22"/>
    <x v="2"/>
    <n v="4.3"/>
    <n v="9900"/>
    <n v="87000"/>
    <n v="0.82"/>
    <x v="0"/>
    <x v="1"/>
  </r>
  <r>
    <x v="6"/>
    <n v="3"/>
    <x v="23"/>
    <x v="2"/>
    <n v="4.0999999999999996"/>
    <n v="8700"/>
    <n v="76000"/>
    <n v="0.77"/>
    <x v="0"/>
    <x v="1"/>
  </r>
  <r>
    <x v="7"/>
    <n v="1"/>
    <x v="24"/>
    <x v="4"/>
    <n v="4.5"/>
    <n v="12200"/>
    <n v="96000"/>
    <n v="0.84"/>
    <x v="3"/>
    <x v="0"/>
  </r>
  <r>
    <x v="7"/>
    <n v="2"/>
    <x v="25"/>
    <x v="4"/>
    <n v="4.5999999999999996"/>
    <n v="13000"/>
    <n v="103000"/>
    <n v="0.87"/>
    <x v="3"/>
    <x v="0"/>
  </r>
  <r>
    <x v="7"/>
    <n v="3"/>
    <x v="26"/>
    <x v="4"/>
    <n v="4.7"/>
    <n v="13800"/>
    <n v="111000"/>
    <n v="0.88"/>
    <x v="3"/>
    <x v="0"/>
  </r>
  <r>
    <x v="8"/>
    <n v="1"/>
    <x v="27"/>
    <x v="3"/>
    <n v="4.5999999999999996"/>
    <n v="15000"/>
    <n v="120000"/>
    <n v="0.89"/>
    <x v="4"/>
    <x v="0"/>
  </r>
  <r>
    <x v="8"/>
    <n v="2"/>
    <x v="28"/>
    <x v="3"/>
    <n v="4.5"/>
    <n v="13900"/>
    <n v="115000"/>
    <n v="0.87"/>
    <x v="4"/>
    <x v="0"/>
  </r>
  <r>
    <x v="8"/>
    <n v="3"/>
    <x v="29"/>
    <x v="3"/>
    <n v="4.4000000000000004"/>
    <n v="12700"/>
    <n v="102000"/>
    <n v="0.84"/>
    <x v="4"/>
    <x v="0"/>
  </r>
  <r>
    <x v="8"/>
    <n v="4"/>
    <x v="30"/>
    <x v="4"/>
    <n v="4.5"/>
    <n v="13400"/>
    <n v="107000"/>
    <n v="0.86"/>
    <x v="4"/>
    <x v="0"/>
  </r>
  <r>
    <x v="8"/>
    <n v="5"/>
    <x v="31"/>
    <x v="4"/>
    <n v="4.4000000000000004"/>
    <n v="12900"/>
    <n v="98000"/>
    <n v="0.83"/>
    <x v="4"/>
    <x v="0"/>
  </r>
  <r>
    <x v="8"/>
    <n v="6"/>
    <x v="32"/>
    <x v="5"/>
    <n v="4.5999999999999996"/>
    <n v="14100"/>
    <n v="118000"/>
    <n v="0.88"/>
    <x v="4"/>
    <x v="0"/>
  </r>
  <r>
    <x v="9"/>
    <n v="1"/>
    <x v="33"/>
    <x v="6"/>
    <n v="4.3"/>
    <n v="9200"/>
    <n v="85000"/>
    <n v="0.8"/>
    <x v="0"/>
    <x v="1"/>
  </r>
  <r>
    <x v="9"/>
    <n v="2"/>
    <x v="34"/>
    <x v="7"/>
    <n v="4.4000000000000004"/>
    <n v="9700"/>
    <n v="88000"/>
    <n v="0.82"/>
    <x v="0"/>
    <x v="1"/>
  </r>
  <r>
    <x v="10"/>
    <n v="1"/>
    <x v="35"/>
    <x v="6"/>
    <n v="4.2"/>
    <n v="8900"/>
    <n v="78000"/>
    <n v="0.78"/>
    <x v="0"/>
    <x v="1"/>
  </r>
  <r>
    <x v="10"/>
    <n v="2"/>
    <x v="36"/>
    <x v="6"/>
    <n v="4.3"/>
    <n v="9100"/>
    <n v="82000"/>
    <n v="0.8"/>
    <x v="0"/>
    <x v="1"/>
  </r>
  <r>
    <x v="10"/>
    <n v="3"/>
    <x v="37"/>
    <x v="7"/>
    <n v="4.4000000000000004"/>
    <n v="9500"/>
    <n v="86000"/>
    <n v="0.8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6DCE9-4498-4354-A4F5-26493C95FAEC}" name="PivotTable8" cacheId="4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2" rowHeaderCaption="Title">
  <location ref="A3:E8" firstHeaderRow="0" firstDataRow="1" firstDataCol="1"/>
  <pivotFields count="10">
    <pivotField showAll="0"/>
    <pivotField showAll="0"/>
    <pivotField axis="axisRow" showAll="0" measureFilter="1">
      <items count="39">
        <item x="11"/>
        <item x="12"/>
        <item x="35"/>
        <item x="4"/>
        <item x="14"/>
        <item x="24"/>
        <item x="23"/>
        <item x="0"/>
        <item x="1"/>
        <item x="17"/>
        <item x="19"/>
        <item x="20"/>
        <item x="18"/>
        <item x="31"/>
        <item x="27"/>
        <item x="28"/>
        <item x="30"/>
        <item x="32"/>
        <item x="29"/>
        <item x="26"/>
        <item x="34"/>
        <item x="33"/>
        <item x="25"/>
        <item x="13"/>
        <item x="9"/>
        <item x="10"/>
        <item x="7"/>
        <item x="8"/>
        <item x="6"/>
        <item x="2"/>
        <item x="36"/>
        <item x="22"/>
        <item x="37"/>
        <item x="15"/>
        <item x="16"/>
        <item x="3"/>
        <item x="5"/>
        <item x="21"/>
        <item t="default"/>
      </items>
    </pivotField>
    <pivotField dataField="1" showAll="0">
      <items count="9">
        <item x="0"/>
        <item x="1"/>
        <item x="2"/>
        <item x="3"/>
        <item x="4"/>
        <item x="5"/>
        <item h="1" x="6"/>
        <item h="1" x="7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5">
    <i>
      <x v="8"/>
    </i>
    <i>
      <x v="14"/>
    </i>
    <i>
      <x v="15"/>
    </i>
    <i>
      <x v="17"/>
    </i>
    <i>
      <x v="3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eviews" fld="5" baseField="2" baseItem="8"/>
    <dataField name="Publication year" fld="3" baseField="2" baseItem="8"/>
    <dataField name="Total sales " fld="6" baseField="2" baseItem="8"/>
    <dataField name="Rating " fld="4" baseField="2" baseItem="8"/>
  </dataFields>
  <formats count="21">
    <format dxfId="282">
      <pivotArea field="2" type="button" dataOnly="0" labelOnly="1" outline="0" axis="axisRow" fieldPosition="0"/>
    </format>
    <format dxfId="28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84">
      <pivotArea field="2" type="button" dataOnly="0" labelOnly="1" outline="0" axis="axisRow" fieldPosition="0"/>
    </format>
    <format dxfId="28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86">
      <pivotArea dataOnly="0" labelOnly="1" fieldPosition="0">
        <references count="1">
          <reference field="2" count="5">
            <x v="8"/>
            <x v="14"/>
            <x v="15"/>
            <x v="17"/>
            <x v="35"/>
          </reference>
        </references>
      </pivotArea>
    </format>
    <format dxfId="287">
      <pivotArea outline="0" collapsedLevelsAreSubtotals="1" fieldPosition="0"/>
    </format>
    <format dxfId="288">
      <pivotArea outline="0" collapsedLevelsAreSubtotals="1" fieldPosition="0"/>
    </format>
    <format dxfId="289">
      <pivotArea outline="0" collapsedLevelsAreSubtotals="1" fieldPosition="0"/>
    </format>
    <format dxfId="290">
      <pivotArea dataOnly="0" labelOnly="1" fieldPosition="0">
        <references count="1">
          <reference field="2" count="5">
            <x v="8"/>
            <x v="14"/>
            <x v="15"/>
            <x v="17"/>
            <x v="35"/>
          </reference>
        </references>
      </pivotArea>
    </format>
    <format dxfId="291">
      <pivotArea outline="0" collapsedLevelsAreSubtotals="1" fieldPosition="0"/>
    </format>
    <format dxfId="292">
      <pivotArea dataOnly="0" labelOnly="1" fieldPosition="0">
        <references count="1">
          <reference field="2" count="5">
            <x v="8"/>
            <x v="14"/>
            <x v="15"/>
            <x v="17"/>
            <x v="35"/>
          </reference>
        </references>
      </pivotArea>
    </format>
    <format dxfId="29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97">
      <pivotArea field="2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299">
      <pivotArea field="2" type="button" dataOnly="0" labelOnly="1" outline="0" axis="axisRow" fieldPosition="0"/>
    </format>
    <format dxfId="30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3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455DF-0B2B-4C46-A6C4-0234FFD0B0BD}" name="PivotTable6" cacheId="4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29" rowHeaderCaption="Publication year">
  <location ref="G3:H9" firstHeaderRow="1" firstDataRow="1" firstDataCol="1"/>
  <pivotFields count="10">
    <pivotField multipleItemSelectionAllowed="1" showAll="0"/>
    <pivotField showAll="0"/>
    <pivotField showAll="0"/>
    <pivotField axis="axisRow" showAll="0" sortType="ascending">
      <items count="9">
        <item x="0"/>
        <item x="1"/>
        <item x="2"/>
        <item x="3"/>
        <item x="4"/>
        <item x="5"/>
        <item h="1" x="6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ales  " fld="6" baseField="3" baseItem="0"/>
  </dataFields>
  <formats count="13">
    <format dxfId="303">
      <pivotArea dataOnly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304">
      <pivotArea dataOnly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305">
      <pivotArea field="3" type="button" dataOnly="0" labelOnly="1" outline="0" axis="axisRow" fieldPosition="0"/>
    </format>
    <format dxfId="306">
      <pivotArea dataOnly="0" labelOnly="1" outline="0" axis="axisValues" fieldPosition="0"/>
    </format>
    <format dxfId="307">
      <pivotArea field="3" type="button" dataOnly="0" labelOnly="1" outline="0" axis="axisRow" fieldPosition="0"/>
    </format>
    <format dxfId="308">
      <pivotArea dataOnly="0" labelOnly="1" outline="0" axis="axisValues" fieldPosition="0"/>
    </format>
    <format dxfId="309">
      <pivotArea field="3" type="button" dataOnly="0" labelOnly="1" outline="0" axis="axisRow" fieldPosition="0"/>
    </format>
    <format dxfId="310">
      <pivotArea dataOnly="0" labelOnly="1" outline="0" axis="axisValues" fieldPosition="0"/>
    </format>
    <format dxfId="311">
      <pivotArea field="3" type="button" dataOnly="0" labelOnly="1" outline="0" axis="axisRow" fieldPosition="0"/>
    </format>
    <format dxfId="312">
      <pivotArea dataOnly="0" labelOnly="1" outline="0" axis="axisValues" fieldPosition="0"/>
    </format>
    <format dxfId="313">
      <pivotArea outline="0" collapsedLevelsAreSubtotals="1" fieldPosition="0"/>
    </format>
    <format dxfId="5">
      <pivotArea collapsedLevelsAreSubtotals="1" fieldPosition="0">
        <references count="1">
          <reference field="3" count="1">
            <x v="5"/>
          </reference>
        </references>
      </pivotArea>
    </format>
    <format dxfId="4">
      <pivotArea dataOnly="0" labelOnly="1" fieldPosition="0">
        <references count="1">
          <reference field="3" count="1">
            <x v="5"/>
          </reference>
        </references>
      </pivotArea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17360-DB76-4C8F-BE55-9745B2A02088}" name="PivotTable5" cacheId="4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Series ">
  <location ref="G10:H15" firstHeaderRow="1" firstDataRow="1" firstDataCol="1"/>
  <pivotFields count="10">
    <pivotField axis="axisRow" showAll="0" measureFilter="1">
      <items count="12">
        <item x="6"/>
        <item x="5"/>
        <item x="1"/>
        <item x="8"/>
        <item x="2"/>
        <item x="7"/>
        <item x="0"/>
        <item x="3"/>
        <item x="4"/>
        <item x="9"/>
        <item x="10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h="1" x="6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 v="3"/>
    </i>
    <i>
      <x v="5"/>
    </i>
    <i>
      <x v="6"/>
    </i>
    <i>
      <x v="7"/>
    </i>
    <i>
      <x v="9"/>
    </i>
  </rowItems>
  <colItems count="1">
    <i/>
  </colItems>
  <dataFields count="1">
    <dataField name="Avg sales" fld="6" subtotal="average" baseField="0" baseItem="3"/>
  </dataFields>
  <formats count="15">
    <format dxfId="314">
      <pivotArea collapsedLevelsAreSubtotals="1" fieldPosition="0">
        <references count="1">
          <reference field="0" count="1">
            <x v="2"/>
          </reference>
        </references>
      </pivotArea>
    </format>
    <format dxfId="315">
      <pivotArea collapsedLevelsAreSubtotals="1" fieldPosition="0">
        <references count="1">
          <reference field="0" count="1">
            <x v="5"/>
          </reference>
        </references>
      </pivotArea>
    </format>
    <format dxfId="316">
      <pivotArea field="0" type="button" dataOnly="0" labelOnly="1" outline="0" axis="axisRow" fieldPosition="0"/>
    </format>
    <format dxfId="317">
      <pivotArea dataOnly="0" labelOnly="1" outline="0" axis="axisValues" fieldPosition="0"/>
    </format>
    <format dxfId="318">
      <pivotArea field="0" type="button" dataOnly="0" labelOnly="1" outline="0" axis="axisRow" fieldPosition="0"/>
    </format>
    <format dxfId="319">
      <pivotArea dataOnly="0" labelOnly="1" outline="0" axis="axisValues" fieldPosition="0"/>
    </format>
    <format dxfId="320">
      <pivotArea outline="0" collapsedLevelsAreSubtotals="1" fieldPosition="0"/>
    </format>
    <format dxfId="321">
      <pivotArea dataOnly="0" labelOnly="1" fieldPosition="0">
        <references count="1">
          <reference field="0" count="5">
            <x v="3"/>
            <x v="5"/>
            <x v="6"/>
            <x v="7"/>
            <x v="9"/>
          </reference>
        </references>
      </pivotArea>
    </format>
    <format dxfId="322">
      <pivotArea field="0" type="button" dataOnly="0" labelOnly="1" outline="0" axis="axisRow" fieldPosition="0"/>
    </format>
    <format dxfId="323">
      <pivotArea dataOnly="0" labelOnly="1" outline="0" axis="axisValues" fieldPosition="0"/>
    </format>
    <format dxfId="324">
      <pivotArea field="0" type="button" dataOnly="0" labelOnly="1" outline="0" axis="axisRow" fieldPosition="0"/>
    </format>
    <format dxfId="325">
      <pivotArea dataOnly="0" labelOnly="1" outline="0" axis="axisValues" fieldPosition="0"/>
    </format>
    <format dxfId="326">
      <pivotArea outline="0" collapsedLevelsAreSubtotals="1" fieldPosition="0"/>
    </format>
    <format dxfId="327">
      <pivotArea dataOnly="0" labelOnly="1" fieldPosition="0">
        <references count="1">
          <reference field="0" count="5">
            <x v="3"/>
            <x v="5"/>
            <x v="6"/>
            <x v="7"/>
            <x v="9"/>
          </reference>
        </references>
      </pivotArea>
    </format>
    <format dxfId="328">
      <pivotArea outline="0" collapsedLevelsAreSubtotals="1" fieldPosition="0"/>
    </format>
  </formats>
  <pivotTableStyleInfo name="PivotStyleMedium3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A1685-D12A-411A-A1AA-5418A45354C0}" name="PivotTable4" cacheId="4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showHeaders="0" outline="1" outlineData="1" multipleFieldFilters="0" chartFormat="4" rowHeaderCaption="Genre" colHeaderCaption="">
  <location ref="A9:E15" firstHeaderRow="1" firstDataRow="2" firstDataCol="1"/>
  <pivotFields count="10"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h="1" x="6"/>
        <item h="1" x="7"/>
        <item t="default"/>
      </items>
    </pivotField>
    <pivotField showAll="0"/>
    <pivotField showAll="0"/>
    <pivotField showAll="0"/>
    <pivotField showAll="0"/>
    <pivotField axis="axisRow" showAll="0" measureFilter="1">
      <items count="6">
        <item x="2"/>
        <item x="4"/>
        <item x="3"/>
        <item x="0"/>
        <item x="1"/>
        <item t="default"/>
      </items>
    </pivotField>
    <pivotField axis="axisCol" showAll="0" sortType="ascending">
      <items count="5">
        <item x="2"/>
        <item x="0"/>
        <item x="1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Fields count="1">
    <field x="9"/>
  </colFields>
  <colItems count="4">
    <i>
      <x/>
    </i>
    <i>
      <x v="1"/>
    </i>
    <i>
      <x v="2"/>
    </i>
    <i>
      <x v="3"/>
    </i>
  </colItems>
  <dataFields count="1">
    <dataField name=" " fld="2" subtotal="count" baseField="0" baseItem="0"/>
  </dataFields>
  <formats count="22">
    <format dxfId="329">
      <pivotArea field="8" type="button" dataOnly="0" labelOnly="1" outline="0" axis="axisRow" fieldPosition="0"/>
    </format>
    <format dxfId="330">
      <pivotArea dataOnly="0" labelOnly="1" outline="0" axis="axisValues" fieldPosition="0"/>
    </format>
    <format dxfId="331">
      <pivotArea field="8" type="button" dataOnly="0" labelOnly="1" outline="0" axis="axisRow" fieldPosition="0"/>
    </format>
    <format dxfId="332">
      <pivotArea dataOnly="0" labelOnly="1" outline="0" axis="axisValues" fieldPosition="0"/>
    </format>
    <format dxfId="333">
      <pivotArea field="8" type="button" dataOnly="0" labelOnly="1" outline="0" axis="axisRow" fieldPosition="0"/>
    </format>
    <format dxfId="334">
      <pivotArea dataOnly="0" labelOnly="1" outline="0" axis="axisValues" fieldPosition="0"/>
    </format>
    <format dxfId="335">
      <pivotArea field="8" type="button" dataOnly="0" labelOnly="1" outline="0" axis="axisRow" fieldPosition="0"/>
    </format>
    <format dxfId="336">
      <pivotArea dataOnly="0" labelOnly="1" outline="0" axis="axisValues" fieldPosition="0"/>
    </format>
    <format dxfId="337">
      <pivotArea outline="0" collapsedLevelsAreSubtotals="1" fieldPosition="0"/>
    </format>
    <format dxfId="338">
      <pivotArea dataOnly="0" labelOnly="1" fieldPosition="0">
        <references count="1">
          <reference field="8" count="0"/>
        </references>
      </pivotArea>
    </format>
    <format dxfId="339">
      <pivotArea type="origin" dataOnly="0" labelOnly="1" outline="0" fieldPosition="0"/>
    </format>
    <format dxfId="340">
      <pivotArea field="9" type="button" dataOnly="0" labelOnly="1" outline="0" axis="axisCol" fieldPosition="0"/>
    </format>
    <format dxfId="341">
      <pivotArea type="topRight" dataOnly="0" labelOnly="1" outline="0" fieldPosition="0"/>
    </format>
    <format dxfId="342">
      <pivotArea outline="0" collapsedLevelsAreSubtotals="1" fieldPosition="0"/>
    </format>
    <format dxfId="343">
      <pivotArea dataOnly="0" labelOnly="1" fieldPosition="0">
        <references count="1">
          <reference field="8" count="0"/>
        </references>
      </pivotArea>
    </format>
    <format dxfId="344">
      <pivotArea outline="0" collapsedLevelsAreSubtotals="1" fieldPosition="0"/>
    </format>
    <format dxfId="345">
      <pivotArea outline="0" collapsedLevelsAreSubtotals="1" fieldPosition="0"/>
    </format>
    <format dxfId="346">
      <pivotArea dataOnly="0" labelOnly="1" fieldPosition="0">
        <references count="1">
          <reference field="9" count="0"/>
        </references>
      </pivotArea>
    </format>
    <format dxfId="347">
      <pivotArea dataOnly="0" labelOnly="1" fieldPosition="0">
        <references count="1">
          <reference field="9" count="0"/>
        </references>
      </pivotArea>
    </format>
    <format dxfId="348">
      <pivotArea field="9" type="button" dataOnly="0" labelOnly="1" outline="0" axis="axisCol" fieldPosition="0"/>
    </format>
    <format dxfId="3">
      <pivotArea type="origin" dataOnly="0" labelOnly="1" outline="0" fieldPosition="0"/>
    </format>
    <format dxfId="1">
      <pivotArea type="topRight" dataOnly="0" labelOnly="1" outline="0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8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43289-7A97-448A-AFD7-08F4EA79B7EF}" name="Table1" displayName="Table1" ref="A1:J39" totalsRowShown="0" headerRowDxfId="2494" headerRowBorderDxfId="2495" tableBorderDxfId="2496">
  <autoFilter ref="A1:J39" xr:uid="{E2243289-7A97-448A-AFD7-08F4EA79B7EF}"/>
  <tableColumns count="10">
    <tableColumn id="1" xr3:uid="{B21C30F4-DF99-4A33-8951-4D9D7155F7F3}" name="series"/>
    <tableColumn id="2" xr3:uid="{20C3EBE7-B908-4284-8E6F-E570E2EF5423}" name="order_in_series"/>
    <tableColumn id="3" xr3:uid="{76D244DC-6298-441E-8728-11747C625D95}" name="title"/>
    <tableColumn id="4" xr3:uid="{ACE8B171-E84B-422F-A9B8-551824F384A8}" name="publication_year"/>
    <tableColumn id="5" xr3:uid="{B21189DC-7CFA-4856-88C0-CF1775265DC5}" name="avg_rating"/>
    <tableColumn id="6" xr3:uid="{FFA4379A-F018-4C72-A652-59BAA0D89129}" name="num_reviews"/>
    <tableColumn id="7" xr3:uid="{8F9C330D-D0E7-4A90-A31E-9DD5AED00E25}" name="sales_units"/>
    <tableColumn id="8" xr3:uid="{BF1AE448-0CDE-4BCD-92A1-9E0A727509F1}" name="sentiment_score"/>
    <tableColumn id="9" xr3:uid="{9EE502EE-B619-4B45-963D-7528D6CCE8EC}" name="genre"/>
    <tableColumn id="10" xr3:uid="{8568A8B7-90B7-41AF-8F5E-C5E2E7A85D30}" name="sales_catego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5EF-CA3A-4227-A3F6-0F6081AAC293}">
  <dimension ref="A1:O30"/>
  <sheetViews>
    <sheetView tabSelected="1" zoomScale="82" workbookViewId="0">
      <selection activeCell="I1" sqref="I1"/>
    </sheetView>
  </sheetViews>
  <sheetFormatPr defaultRowHeight="14.4" x14ac:dyDescent="0.3"/>
  <cols>
    <col min="1" max="1" width="16.5546875" bestFit="1" customWidth="1"/>
    <col min="2" max="2" width="13.44140625" bestFit="1" customWidth="1"/>
    <col min="3" max="3" width="15.44140625" bestFit="1" customWidth="1"/>
    <col min="4" max="4" width="14.33203125" bestFit="1" customWidth="1"/>
    <col min="5" max="5" width="13.5546875" bestFit="1" customWidth="1"/>
    <col min="6" max="6" width="4.5546875" customWidth="1"/>
    <col min="7" max="7" width="19.88671875" bestFit="1" customWidth="1"/>
    <col min="8" max="8" width="9.6640625" bestFit="1" customWidth="1"/>
    <col min="9" max="9" width="4.33203125" customWidth="1"/>
    <col min="10" max="10" width="11.21875" bestFit="1" customWidth="1"/>
    <col min="11" max="11" width="14.88671875" bestFit="1" customWidth="1"/>
    <col min="12" max="12" width="4.44140625" customWidth="1"/>
    <col min="13" max="13" width="19.88671875" bestFit="1" customWidth="1"/>
    <col min="14" max="15" width="7.6640625" bestFit="1" customWidth="1"/>
    <col min="16" max="24" width="6" bestFit="1" customWidth="1"/>
    <col min="25" max="33" width="7" bestFit="1" customWidth="1"/>
    <col min="34" max="34" width="10.77734375" bestFit="1" customWidth="1"/>
  </cols>
  <sheetData>
    <row r="1" spans="1:15" ht="52.2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.6" x14ac:dyDescent="0.3">
      <c r="A3" s="2" t="s">
        <v>75</v>
      </c>
      <c r="B3" s="3" t="s">
        <v>73</v>
      </c>
      <c r="C3" s="4" t="s">
        <v>71</v>
      </c>
      <c r="D3" s="3" t="s">
        <v>74</v>
      </c>
      <c r="E3" s="3" t="s">
        <v>76</v>
      </c>
      <c r="F3" s="6"/>
      <c r="G3" s="2" t="s">
        <v>71</v>
      </c>
      <c r="H3" s="3" t="s">
        <v>72</v>
      </c>
      <c r="I3" s="6"/>
      <c r="J3" s="6"/>
      <c r="K3" s="6"/>
      <c r="L3" s="6"/>
      <c r="M3" s="6"/>
      <c r="N3" s="6"/>
      <c r="O3" s="6"/>
    </row>
    <row r="4" spans="1:15" x14ac:dyDescent="0.3">
      <c r="A4" s="11" t="s">
        <v>22</v>
      </c>
      <c r="B4" s="10">
        <v>15600</v>
      </c>
      <c r="C4" s="10">
        <v>2019</v>
      </c>
      <c r="D4" s="10">
        <v>120000</v>
      </c>
      <c r="E4" s="10">
        <v>4.5999999999999996</v>
      </c>
      <c r="F4" s="6"/>
      <c r="G4" s="11">
        <v>2019</v>
      </c>
      <c r="H4" s="14">
        <v>325000</v>
      </c>
      <c r="I4" s="6"/>
      <c r="J4" s="6"/>
      <c r="K4" s="6"/>
      <c r="L4" s="6"/>
      <c r="M4" s="6"/>
      <c r="N4" s="6"/>
      <c r="O4" s="6"/>
    </row>
    <row r="5" spans="1:15" x14ac:dyDescent="0.3">
      <c r="A5" s="11" t="s">
        <v>48</v>
      </c>
      <c r="B5" s="10">
        <v>15000</v>
      </c>
      <c r="C5" s="10">
        <v>2022</v>
      </c>
      <c r="D5" s="10">
        <v>120000</v>
      </c>
      <c r="E5" s="10">
        <v>4.5999999999999996</v>
      </c>
      <c r="F5" s="6"/>
      <c r="G5" s="11">
        <v>2020</v>
      </c>
      <c r="H5" s="14">
        <v>550000</v>
      </c>
      <c r="I5" s="6"/>
      <c r="J5" s="6"/>
      <c r="K5" s="6"/>
      <c r="L5" s="6"/>
      <c r="M5" s="6"/>
      <c r="N5" s="6"/>
      <c r="O5" s="6"/>
    </row>
    <row r="6" spans="1:15" x14ac:dyDescent="0.3">
      <c r="A6" s="11" t="s">
        <v>49</v>
      </c>
      <c r="B6" s="10">
        <v>13900</v>
      </c>
      <c r="C6" s="10">
        <v>2022</v>
      </c>
      <c r="D6" s="10">
        <v>115000</v>
      </c>
      <c r="E6" s="10">
        <v>4.5</v>
      </c>
      <c r="F6" s="6"/>
      <c r="G6" s="11">
        <v>2021</v>
      </c>
      <c r="H6" s="14">
        <v>898000</v>
      </c>
      <c r="I6" s="6"/>
      <c r="J6" s="6"/>
      <c r="K6" s="6"/>
      <c r="L6" s="6"/>
      <c r="M6" s="6"/>
      <c r="N6" s="6"/>
      <c r="O6" s="6"/>
    </row>
    <row r="7" spans="1:15" x14ac:dyDescent="0.3">
      <c r="A7" s="11" t="s">
        <v>53</v>
      </c>
      <c r="B7" s="10">
        <v>14100</v>
      </c>
      <c r="C7" s="10">
        <v>2024</v>
      </c>
      <c r="D7" s="10">
        <v>118000</v>
      </c>
      <c r="E7" s="10">
        <v>4.5999999999999996</v>
      </c>
      <c r="F7" s="6"/>
      <c r="G7" s="11">
        <v>2022</v>
      </c>
      <c r="H7" s="14">
        <v>592000</v>
      </c>
      <c r="I7" s="6"/>
      <c r="J7" s="6"/>
      <c r="K7" s="6"/>
      <c r="L7" s="6"/>
      <c r="M7" s="6"/>
      <c r="N7" s="6"/>
      <c r="O7" s="6"/>
    </row>
    <row r="8" spans="1:15" x14ac:dyDescent="0.3">
      <c r="A8" s="11" t="s">
        <v>24</v>
      </c>
      <c r="B8" s="10">
        <v>14000</v>
      </c>
      <c r="C8" s="10">
        <v>2020</v>
      </c>
      <c r="D8" s="10">
        <v>112000</v>
      </c>
      <c r="E8" s="10">
        <v>4.5</v>
      </c>
      <c r="F8" s="6"/>
      <c r="G8" s="11">
        <v>2023</v>
      </c>
      <c r="H8" s="14">
        <v>515000</v>
      </c>
      <c r="I8" s="6"/>
      <c r="J8" s="6"/>
      <c r="K8" s="6"/>
      <c r="L8" s="6"/>
      <c r="M8" s="6"/>
      <c r="N8" s="6"/>
      <c r="O8" s="6"/>
    </row>
    <row r="9" spans="1:15" x14ac:dyDescent="0.3">
      <c r="A9" s="6" t="s">
        <v>68</v>
      </c>
      <c r="B9" s="6"/>
      <c r="C9" s="6"/>
      <c r="D9" s="6"/>
      <c r="E9" s="6"/>
      <c r="F9" s="6"/>
      <c r="G9" s="15">
        <v>2024</v>
      </c>
      <c r="H9" s="16">
        <v>118000</v>
      </c>
      <c r="I9" s="6"/>
      <c r="J9" s="6"/>
      <c r="K9" s="6"/>
      <c r="L9" s="6"/>
      <c r="M9" s="6"/>
      <c r="N9" s="6"/>
      <c r="O9" s="6"/>
    </row>
    <row r="10" spans="1:15" ht="15.6" x14ac:dyDescent="0.3">
      <c r="B10" s="5" t="s">
        <v>66</v>
      </c>
      <c r="C10" s="5" t="s">
        <v>64</v>
      </c>
      <c r="D10" s="5" t="s">
        <v>65</v>
      </c>
      <c r="E10" s="5" t="s">
        <v>67</v>
      </c>
      <c r="F10" s="7"/>
      <c r="G10" s="2" t="s">
        <v>70</v>
      </c>
      <c r="H10" s="3" t="s">
        <v>69</v>
      </c>
      <c r="I10" s="6"/>
      <c r="J10" s="6"/>
      <c r="K10" s="6"/>
      <c r="L10" s="6"/>
      <c r="M10" s="6"/>
      <c r="N10" s="6"/>
      <c r="O10" s="6"/>
    </row>
    <row r="11" spans="1:15" x14ac:dyDescent="0.3">
      <c r="A11" s="11" t="s">
        <v>61</v>
      </c>
      <c r="B11" s="10"/>
      <c r="C11" s="10">
        <v>2</v>
      </c>
      <c r="D11" s="10">
        <v>2</v>
      </c>
      <c r="E11" s="10"/>
      <c r="F11" s="8"/>
      <c r="G11" s="11" t="s">
        <v>18</v>
      </c>
      <c r="H11" s="12">
        <v>110000</v>
      </c>
      <c r="I11" s="6"/>
      <c r="J11" s="6"/>
      <c r="K11" s="6"/>
      <c r="L11" s="6"/>
      <c r="M11" s="6"/>
      <c r="N11" s="6"/>
      <c r="O11" s="6"/>
    </row>
    <row r="12" spans="1:15" x14ac:dyDescent="0.3">
      <c r="A12" s="11" t="s">
        <v>63</v>
      </c>
      <c r="B12" s="10"/>
      <c r="C12" s="10">
        <v>6</v>
      </c>
      <c r="D12" s="10"/>
      <c r="E12" s="10"/>
      <c r="F12" s="8"/>
      <c r="G12" s="11" t="s">
        <v>17</v>
      </c>
      <c r="H12" s="13">
        <v>103333.33333333333</v>
      </c>
      <c r="I12" s="6"/>
      <c r="J12" s="6"/>
      <c r="K12" s="6"/>
      <c r="L12" s="6"/>
      <c r="M12" s="6"/>
      <c r="N12" s="6"/>
      <c r="O12" s="6"/>
    </row>
    <row r="13" spans="1:15" x14ac:dyDescent="0.3">
      <c r="A13" s="11" t="s">
        <v>62</v>
      </c>
      <c r="B13" s="10"/>
      <c r="C13" s="10">
        <v>3</v>
      </c>
      <c r="D13" s="10"/>
      <c r="E13" s="10"/>
      <c r="F13" s="8"/>
      <c r="G13" s="11" t="s">
        <v>10</v>
      </c>
      <c r="H13" s="12">
        <v>98375</v>
      </c>
      <c r="I13" s="6"/>
      <c r="J13" s="6"/>
      <c r="K13" s="6"/>
      <c r="L13" s="6"/>
      <c r="M13" s="6"/>
      <c r="N13" s="6"/>
      <c r="O13" s="6"/>
    </row>
    <row r="14" spans="1:15" x14ac:dyDescent="0.3">
      <c r="A14" s="11" t="s">
        <v>59</v>
      </c>
      <c r="B14" s="10">
        <v>2</v>
      </c>
      <c r="C14" s="10">
        <v>7</v>
      </c>
      <c r="D14" s="10">
        <v>11</v>
      </c>
      <c r="E14" s="10"/>
      <c r="F14" s="8"/>
      <c r="G14" s="11" t="s">
        <v>13</v>
      </c>
      <c r="H14" s="12">
        <v>85000</v>
      </c>
      <c r="I14" s="6"/>
      <c r="J14" s="6"/>
      <c r="K14" s="6"/>
      <c r="L14" s="6"/>
      <c r="M14" s="6"/>
      <c r="N14" s="6"/>
      <c r="O14" s="6"/>
    </row>
    <row r="15" spans="1:15" x14ac:dyDescent="0.3">
      <c r="A15" s="11" t="s">
        <v>60</v>
      </c>
      <c r="B15" s="10"/>
      <c r="C15" s="10"/>
      <c r="D15" s="10">
        <v>4</v>
      </c>
      <c r="E15" s="10">
        <v>1</v>
      </c>
      <c r="F15" s="8"/>
      <c r="G15" s="11" t="s">
        <v>19</v>
      </c>
      <c r="H15" s="12">
        <v>86500</v>
      </c>
      <c r="I15" s="6"/>
      <c r="J15" s="6"/>
      <c r="K15" s="6"/>
      <c r="L15" s="6"/>
      <c r="M15" s="6"/>
      <c r="N15" s="6"/>
      <c r="O15" s="6"/>
    </row>
    <row r="16" spans="1:15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3">
      <c r="A23" s="6"/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O23" s="6"/>
    </row>
    <row r="24" spans="1:15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workbookViewId="0">
      <selection activeCell="C28" sqref="C28"/>
    </sheetView>
  </sheetViews>
  <sheetFormatPr defaultRowHeight="14.4" x14ac:dyDescent="0.3"/>
  <cols>
    <col min="1" max="1" width="15.88671875" bestFit="1" customWidth="1"/>
    <col min="2" max="2" width="15.6640625" customWidth="1"/>
    <col min="3" max="3" width="20.88671875" bestFit="1" customWidth="1"/>
    <col min="4" max="4" width="17" customWidth="1"/>
    <col min="5" max="5" width="11.77734375" customWidth="1"/>
    <col min="6" max="6" width="14.109375" customWidth="1"/>
    <col min="7" max="7" width="12" customWidth="1"/>
    <col min="8" max="8" width="16.77734375" customWidth="1"/>
    <col min="9" max="9" width="21.77734375" bestFit="1" customWidth="1"/>
    <col min="10" max="10" width="1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</v>
      </c>
      <c r="C2" t="s">
        <v>21</v>
      </c>
      <c r="D2">
        <v>2019</v>
      </c>
      <c r="E2">
        <v>4.3</v>
      </c>
      <c r="F2">
        <v>12500</v>
      </c>
      <c r="G2">
        <v>95000</v>
      </c>
      <c r="H2">
        <v>0.8</v>
      </c>
      <c r="I2" t="s">
        <v>59</v>
      </c>
      <c r="J2" t="s">
        <v>64</v>
      </c>
    </row>
    <row r="3" spans="1:10" x14ac:dyDescent="0.3">
      <c r="A3" t="s">
        <v>10</v>
      </c>
      <c r="B3">
        <v>1</v>
      </c>
      <c r="C3" t="s">
        <v>22</v>
      </c>
      <c r="D3">
        <v>2019</v>
      </c>
      <c r="E3">
        <v>4.5999999999999996</v>
      </c>
      <c r="F3">
        <v>15600</v>
      </c>
      <c r="G3">
        <v>120000</v>
      </c>
      <c r="H3">
        <v>0.85</v>
      </c>
      <c r="I3" t="s">
        <v>59</v>
      </c>
      <c r="J3" t="s">
        <v>64</v>
      </c>
    </row>
    <row r="4" spans="1:10" x14ac:dyDescent="0.3">
      <c r="A4" t="s">
        <v>10</v>
      </c>
      <c r="B4">
        <v>2</v>
      </c>
      <c r="C4" t="s">
        <v>23</v>
      </c>
      <c r="D4">
        <v>2019</v>
      </c>
      <c r="E4">
        <v>4.4000000000000004</v>
      </c>
      <c r="F4">
        <v>13200</v>
      </c>
      <c r="G4">
        <v>110000</v>
      </c>
      <c r="H4">
        <v>0.82</v>
      </c>
      <c r="I4" t="s">
        <v>59</v>
      </c>
      <c r="J4" t="s">
        <v>64</v>
      </c>
    </row>
    <row r="5" spans="1:10" x14ac:dyDescent="0.3">
      <c r="A5" t="s">
        <v>10</v>
      </c>
      <c r="B5">
        <v>3</v>
      </c>
      <c r="C5" t="s">
        <v>24</v>
      </c>
      <c r="D5">
        <v>2020</v>
      </c>
      <c r="E5">
        <v>4.5</v>
      </c>
      <c r="F5">
        <v>14000</v>
      </c>
      <c r="G5">
        <v>112000</v>
      </c>
      <c r="H5">
        <v>0.83</v>
      </c>
      <c r="I5" t="s">
        <v>59</v>
      </c>
      <c r="J5" t="s">
        <v>64</v>
      </c>
    </row>
    <row r="6" spans="1:10" x14ac:dyDescent="0.3">
      <c r="A6" t="s">
        <v>10</v>
      </c>
      <c r="B6">
        <v>4</v>
      </c>
      <c r="C6" t="s">
        <v>25</v>
      </c>
      <c r="D6">
        <v>2020</v>
      </c>
      <c r="E6">
        <v>4.0999999999999996</v>
      </c>
      <c r="F6">
        <v>9200</v>
      </c>
      <c r="G6">
        <v>87000</v>
      </c>
      <c r="H6">
        <v>0.78</v>
      </c>
      <c r="I6" t="s">
        <v>59</v>
      </c>
      <c r="J6" t="s">
        <v>65</v>
      </c>
    </row>
    <row r="7" spans="1:10" x14ac:dyDescent="0.3">
      <c r="A7" t="s">
        <v>10</v>
      </c>
      <c r="B7">
        <v>5</v>
      </c>
      <c r="C7" t="s">
        <v>26</v>
      </c>
      <c r="D7">
        <v>2020</v>
      </c>
      <c r="E7">
        <v>4.3</v>
      </c>
      <c r="F7">
        <v>10100</v>
      </c>
      <c r="G7">
        <v>91000</v>
      </c>
      <c r="H7">
        <v>0.8</v>
      </c>
      <c r="I7" t="s">
        <v>59</v>
      </c>
      <c r="J7" t="s">
        <v>65</v>
      </c>
    </row>
    <row r="8" spans="1:10" x14ac:dyDescent="0.3">
      <c r="A8" t="s">
        <v>10</v>
      </c>
      <c r="B8">
        <v>6</v>
      </c>
      <c r="C8" t="s">
        <v>27</v>
      </c>
      <c r="D8">
        <v>2021</v>
      </c>
      <c r="E8">
        <v>4.5</v>
      </c>
      <c r="F8">
        <v>12800</v>
      </c>
      <c r="G8">
        <v>97000</v>
      </c>
      <c r="H8">
        <v>0.84</v>
      </c>
      <c r="I8" t="s">
        <v>59</v>
      </c>
      <c r="J8" t="s">
        <v>64</v>
      </c>
    </row>
    <row r="9" spans="1:10" x14ac:dyDescent="0.3">
      <c r="A9" t="s">
        <v>10</v>
      </c>
      <c r="B9">
        <v>6.5</v>
      </c>
      <c r="C9" t="s">
        <v>28</v>
      </c>
      <c r="D9">
        <v>2020</v>
      </c>
      <c r="E9">
        <v>4</v>
      </c>
      <c r="F9">
        <v>8500</v>
      </c>
      <c r="G9">
        <v>75000</v>
      </c>
      <c r="H9">
        <v>0.75</v>
      </c>
      <c r="I9" t="s">
        <v>59</v>
      </c>
      <c r="J9" t="s">
        <v>66</v>
      </c>
    </row>
    <row r="10" spans="1:10" x14ac:dyDescent="0.3">
      <c r="A10" t="s">
        <v>11</v>
      </c>
      <c r="B10">
        <v>0.5</v>
      </c>
      <c r="C10" t="s">
        <v>29</v>
      </c>
      <c r="D10">
        <v>2020</v>
      </c>
      <c r="E10">
        <v>3.9</v>
      </c>
      <c r="F10">
        <v>6400</v>
      </c>
      <c r="G10">
        <v>55000</v>
      </c>
      <c r="H10">
        <v>0.65</v>
      </c>
      <c r="I10" t="s">
        <v>60</v>
      </c>
      <c r="J10" t="s">
        <v>67</v>
      </c>
    </row>
    <row r="11" spans="1:10" x14ac:dyDescent="0.3">
      <c r="A11" t="s">
        <v>11</v>
      </c>
      <c r="B11">
        <v>1</v>
      </c>
      <c r="C11" t="s">
        <v>30</v>
      </c>
      <c r="D11">
        <v>2021</v>
      </c>
      <c r="E11">
        <v>4.2</v>
      </c>
      <c r="F11">
        <v>8900</v>
      </c>
      <c r="G11">
        <v>76000</v>
      </c>
      <c r="H11">
        <v>0.77</v>
      </c>
      <c r="I11" t="s">
        <v>60</v>
      </c>
      <c r="J11" t="s">
        <v>65</v>
      </c>
    </row>
    <row r="12" spans="1:10" x14ac:dyDescent="0.3">
      <c r="A12" t="s">
        <v>11</v>
      </c>
      <c r="B12">
        <v>2</v>
      </c>
      <c r="C12" t="s">
        <v>31</v>
      </c>
      <c r="D12">
        <v>2021</v>
      </c>
      <c r="E12">
        <v>4.3</v>
      </c>
      <c r="F12">
        <v>9100</v>
      </c>
      <c r="G12">
        <v>78000</v>
      </c>
      <c r="H12">
        <v>0.79</v>
      </c>
      <c r="I12" t="s">
        <v>60</v>
      </c>
      <c r="J12" t="s">
        <v>65</v>
      </c>
    </row>
    <row r="13" spans="1:10" x14ac:dyDescent="0.3">
      <c r="A13" t="s">
        <v>12</v>
      </c>
      <c r="B13">
        <v>1</v>
      </c>
      <c r="C13" t="s">
        <v>32</v>
      </c>
      <c r="D13">
        <v>2020</v>
      </c>
      <c r="E13">
        <v>4</v>
      </c>
      <c r="F13">
        <v>7000</v>
      </c>
      <c r="G13">
        <v>63000</v>
      </c>
      <c r="H13">
        <v>0.72</v>
      </c>
      <c r="I13" t="s">
        <v>59</v>
      </c>
      <c r="J13" t="s">
        <v>66</v>
      </c>
    </row>
    <row r="14" spans="1:10" x14ac:dyDescent="0.3">
      <c r="A14" t="s">
        <v>12</v>
      </c>
      <c r="B14">
        <v>2</v>
      </c>
      <c r="C14" t="s">
        <v>33</v>
      </c>
      <c r="D14">
        <v>2020</v>
      </c>
      <c r="E14">
        <v>4.2</v>
      </c>
      <c r="F14">
        <v>7400</v>
      </c>
      <c r="G14">
        <v>67000</v>
      </c>
      <c r="H14">
        <v>0.76</v>
      </c>
      <c r="I14" t="s">
        <v>59</v>
      </c>
      <c r="J14" t="s">
        <v>65</v>
      </c>
    </row>
    <row r="15" spans="1:10" x14ac:dyDescent="0.3">
      <c r="A15" t="s">
        <v>13</v>
      </c>
      <c r="B15">
        <v>1</v>
      </c>
      <c r="C15" t="s">
        <v>34</v>
      </c>
      <c r="D15">
        <v>2021</v>
      </c>
      <c r="E15">
        <v>4.4000000000000004</v>
      </c>
      <c r="F15">
        <v>9800</v>
      </c>
      <c r="G15">
        <v>82000</v>
      </c>
      <c r="H15">
        <v>0.81</v>
      </c>
      <c r="I15" t="s">
        <v>59</v>
      </c>
      <c r="J15" t="s">
        <v>64</v>
      </c>
    </row>
    <row r="16" spans="1:10" x14ac:dyDescent="0.3">
      <c r="A16" t="s">
        <v>13</v>
      </c>
      <c r="B16">
        <v>2</v>
      </c>
      <c r="C16" t="s">
        <v>35</v>
      </c>
      <c r="D16">
        <v>2021</v>
      </c>
      <c r="E16">
        <v>4.5</v>
      </c>
      <c r="F16">
        <v>10400</v>
      </c>
      <c r="G16">
        <v>88000</v>
      </c>
      <c r="H16">
        <v>0.84</v>
      </c>
      <c r="I16" t="s">
        <v>59</v>
      </c>
      <c r="J16" t="s">
        <v>64</v>
      </c>
    </row>
    <row r="17" spans="1:10" x14ac:dyDescent="0.3">
      <c r="A17" t="s">
        <v>14</v>
      </c>
      <c r="B17">
        <v>1</v>
      </c>
      <c r="C17" t="s">
        <v>36</v>
      </c>
      <c r="D17">
        <v>2021</v>
      </c>
      <c r="E17">
        <v>4.2</v>
      </c>
      <c r="F17">
        <v>8700</v>
      </c>
      <c r="G17">
        <v>75000</v>
      </c>
      <c r="H17">
        <v>0.78</v>
      </c>
      <c r="I17" t="s">
        <v>60</v>
      </c>
      <c r="J17" t="s">
        <v>65</v>
      </c>
    </row>
    <row r="18" spans="1:10" x14ac:dyDescent="0.3">
      <c r="A18" t="s">
        <v>14</v>
      </c>
      <c r="B18">
        <v>2</v>
      </c>
      <c r="C18" t="s">
        <v>37</v>
      </c>
      <c r="D18">
        <v>2021</v>
      </c>
      <c r="E18">
        <v>4.0999999999999996</v>
      </c>
      <c r="F18">
        <v>8600</v>
      </c>
      <c r="G18">
        <v>73000</v>
      </c>
      <c r="H18">
        <v>0.77</v>
      </c>
      <c r="I18" t="s">
        <v>60</v>
      </c>
      <c r="J18" t="s">
        <v>65</v>
      </c>
    </row>
    <row r="19" spans="1:10" x14ac:dyDescent="0.3">
      <c r="A19" t="s">
        <v>15</v>
      </c>
      <c r="B19">
        <v>1</v>
      </c>
      <c r="C19" t="s">
        <v>38</v>
      </c>
      <c r="D19">
        <v>2021</v>
      </c>
      <c r="E19">
        <v>4.3</v>
      </c>
      <c r="F19">
        <v>9500</v>
      </c>
      <c r="G19">
        <v>80000</v>
      </c>
      <c r="H19">
        <v>0.81</v>
      </c>
      <c r="I19" t="s">
        <v>61</v>
      </c>
      <c r="J19" t="s">
        <v>65</v>
      </c>
    </row>
    <row r="20" spans="1:10" x14ac:dyDescent="0.3">
      <c r="A20" t="s">
        <v>15</v>
      </c>
      <c r="B20">
        <v>2</v>
      </c>
      <c r="C20" t="s">
        <v>39</v>
      </c>
      <c r="D20">
        <v>2022</v>
      </c>
      <c r="E20">
        <v>4.4000000000000004</v>
      </c>
      <c r="F20">
        <v>10300</v>
      </c>
      <c r="G20">
        <v>87000</v>
      </c>
      <c r="H20">
        <v>0.83</v>
      </c>
      <c r="I20" t="s">
        <v>61</v>
      </c>
      <c r="J20" t="s">
        <v>64</v>
      </c>
    </row>
    <row r="21" spans="1:10" x14ac:dyDescent="0.3">
      <c r="A21" t="s">
        <v>15</v>
      </c>
      <c r="B21">
        <v>3</v>
      </c>
      <c r="C21" t="s">
        <v>40</v>
      </c>
      <c r="D21">
        <v>2022</v>
      </c>
      <c r="E21">
        <v>4.5</v>
      </c>
      <c r="F21">
        <v>10900</v>
      </c>
      <c r="G21">
        <v>92000</v>
      </c>
      <c r="H21">
        <v>0.85</v>
      </c>
      <c r="I21" t="s">
        <v>61</v>
      </c>
      <c r="J21" t="s">
        <v>64</v>
      </c>
    </row>
    <row r="22" spans="1:10" x14ac:dyDescent="0.3">
      <c r="A22" t="s">
        <v>15</v>
      </c>
      <c r="B22">
        <v>4</v>
      </c>
      <c r="C22" t="s">
        <v>41</v>
      </c>
      <c r="D22">
        <v>2022</v>
      </c>
      <c r="E22">
        <v>4.0999999999999996</v>
      </c>
      <c r="F22">
        <v>8900</v>
      </c>
      <c r="G22">
        <v>76000</v>
      </c>
      <c r="H22">
        <v>0.78</v>
      </c>
      <c r="I22" t="s">
        <v>61</v>
      </c>
      <c r="J22" t="s">
        <v>65</v>
      </c>
    </row>
    <row r="23" spans="1:10" x14ac:dyDescent="0.3">
      <c r="A23" t="s">
        <v>16</v>
      </c>
      <c r="B23">
        <v>1</v>
      </c>
      <c r="C23" t="s">
        <v>42</v>
      </c>
      <c r="D23">
        <v>2021</v>
      </c>
      <c r="E23">
        <v>4.2</v>
      </c>
      <c r="F23">
        <v>9700</v>
      </c>
      <c r="G23">
        <v>86000</v>
      </c>
      <c r="H23">
        <v>0.8</v>
      </c>
      <c r="I23" t="s">
        <v>59</v>
      </c>
      <c r="J23" t="s">
        <v>65</v>
      </c>
    </row>
    <row r="24" spans="1:10" x14ac:dyDescent="0.3">
      <c r="A24" t="s">
        <v>16</v>
      </c>
      <c r="B24">
        <v>2</v>
      </c>
      <c r="C24" t="s">
        <v>43</v>
      </c>
      <c r="D24">
        <v>2021</v>
      </c>
      <c r="E24">
        <v>4.3</v>
      </c>
      <c r="F24">
        <v>9900</v>
      </c>
      <c r="G24">
        <v>87000</v>
      </c>
      <c r="H24">
        <v>0.82</v>
      </c>
      <c r="I24" t="s">
        <v>59</v>
      </c>
      <c r="J24" t="s">
        <v>65</v>
      </c>
    </row>
    <row r="25" spans="1:10" x14ac:dyDescent="0.3">
      <c r="A25" t="s">
        <v>16</v>
      </c>
      <c r="B25">
        <v>3</v>
      </c>
      <c r="C25" t="s">
        <v>44</v>
      </c>
      <c r="D25">
        <v>2021</v>
      </c>
      <c r="E25">
        <v>4.0999999999999996</v>
      </c>
      <c r="F25">
        <v>8700</v>
      </c>
      <c r="G25">
        <v>76000</v>
      </c>
      <c r="H25">
        <v>0.77</v>
      </c>
      <c r="I25" t="s">
        <v>59</v>
      </c>
      <c r="J25" t="s">
        <v>65</v>
      </c>
    </row>
    <row r="26" spans="1:10" x14ac:dyDescent="0.3">
      <c r="A26" t="s">
        <v>17</v>
      </c>
      <c r="B26">
        <v>1</v>
      </c>
      <c r="C26" t="s">
        <v>45</v>
      </c>
      <c r="D26">
        <v>2023</v>
      </c>
      <c r="E26">
        <v>4.5</v>
      </c>
      <c r="F26">
        <v>12200</v>
      </c>
      <c r="G26">
        <v>96000</v>
      </c>
      <c r="H26">
        <v>0.84</v>
      </c>
      <c r="I26" t="s">
        <v>62</v>
      </c>
      <c r="J26" t="s">
        <v>64</v>
      </c>
    </row>
    <row r="27" spans="1:10" x14ac:dyDescent="0.3">
      <c r="A27" t="s">
        <v>17</v>
      </c>
      <c r="B27">
        <v>2</v>
      </c>
      <c r="C27" t="s">
        <v>46</v>
      </c>
      <c r="D27">
        <v>2023</v>
      </c>
      <c r="E27">
        <v>4.5999999999999996</v>
      </c>
      <c r="F27">
        <v>13000</v>
      </c>
      <c r="G27">
        <v>103000</v>
      </c>
      <c r="H27">
        <v>0.87</v>
      </c>
      <c r="I27" t="s">
        <v>62</v>
      </c>
      <c r="J27" t="s">
        <v>64</v>
      </c>
    </row>
    <row r="28" spans="1:10" x14ac:dyDescent="0.3">
      <c r="A28" t="s">
        <v>17</v>
      </c>
      <c r="B28">
        <v>3</v>
      </c>
      <c r="C28" t="s">
        <v>47</v>
      </c>
      <c r="D28">
        <v>2023</v>
      </c>
      <c r="E28">
        <v>4.7</v>
      </c>
      <c r="F28">
        <v>13800</v>
      </c>
      <c r="G28">
        <v>111000</v>
      </c>
      <c r="H28">
        <v>0.88</v>
      </c>
      <c r="I28" t="s">
        <v>62</v>
      </c>
      <c r="J28" t="s">
        <v>64</v>
      </c>
    </row>
    <row r="29" spans="1:10" x14ac:dyDescent="0.3">
      <c r="A29" t="s">
        <v>18</v>
      </c>
      <c r="B29">
        <v>1</v>
      </c>
      <c r="C29" t="s">
        <v>48</v>
      </c>
      <c r="D29">
        <v>2022</v>
      </c>
      <c r="E29">
        <v>4.5999999999999996</v>
      </c>
      <c r="F29">
        <v>15000</v>
      </c>
      <c r="G29">
        <v>120000</v>
      </c>
      <c r="H29">
        <v>0.89</v>
      </c>
      <c r="I29" t="s">
        <v>63</v>
      </c>
      <c r="J29" t="s">
        <v>64</v>
      </c>
    </row>
    <row r="30" spans="1:10" x14ac:dyDescent="0.3">
      <c r="A30" t="s">
        <v>18</v>
      </c>
      <c r="B30">
        <v>2</v>
      </c>
      <c r="C30" t="s">
        <v>49</v>
      </c>
      <c r="D30">
        <v>2022</v>
      </c>
      <c r="E30">
        <v>4.5</v>
      </c>
      <c r="F30">
        <v>13900</v>
      </c>
      <c r="G30">
        <v>115000</v>
      </c>
      <c r="H30">
        <v>0.87</v>
      </c>
      <c r="I30" t="s">
        <v>63</v>
      </c>
      <c r="J30" t="s">
        <v>64</v>
      </c>
    </row>
    <row r="31" spans="1:10" x14ac:dyDescent="0.3">
      <c r="A31" t="s">
        <v>18</v>
      </c>
      <c r="B31">
        <v>3</v>
      </c>
      <c r="C31" t="s">
        <v>50</v>
      </c>
      <c r="D31">
        <v>2022</v>
      </c>
      <c r="E31">
        <v>4.4000000000000004</v>
      </c>
      <c r="F31">
        <v>12700</v>
      </c>
      <c r="G31">
        <v>102000</v>
      </c>
      <c r="H31">
        <v>0.84</v>
      </c>
      <c r="I31" t="s">
        <v>63</v>
      </c>
      <c r="J31" t="s">
        <v>64</v>
      </c>
    </row>
    <row r="32" spans="1:10" x14ac:dyDescent="0.3">
      <c r="A32" t="s">
        <v>18</v>
      </c>
      <c r="B32">
        <v>4</v>
      </c>
      <c r="C32" t="s">
        <v>51</v>
      </c>
      <c r="D32">
        <v>2023</v>
      </c>
      <c r="E32">
        <v>4.5</v>
      </c>
      <c r="F32">
        <v>13400</v>
      </c>
      <c r="G32">
        <v>107000</v>
      </c>
      <c r="H32">
        <v>0.86</v>
      </c>
      <c r="I32" t="s">
        <v>63</v>
      </c>
      <c r="J32" t="s">
        <v>64</v>
      </c>
    </row>
    <row r="33" spans="1:10" x14ac:dyDescent="0.3">
      <c r="A33" t="s">
        <v>18</v>
      </c>
      <c r="B33">
        <v>5</v>
      </c>
      <c r="C33" t="s">
        <v>52</v>
      </c>
      <c r="D33">
        <v>2023</v>
      </c>
      <c r="E33">
        <v>4.4000000000000004</v>
      </c>
      <c r="F33">
        <v>12900</v>
      </c>
      <c r="G33">
        <v>98000</v>
      </c>
      <c r="H33">
        <v>0.83</v>
      </c>
      <c r="I33" t="s">
        <v>63</v>
      </c>
      <c r="J33" t="s">
        <v>64</v>
      </c>
    </row>
    <row r="34" spans="1:10" x14ac:dyDescent="0.3">
      <c r="A34" t="s">
        <v>18</v>
      </c>
      <c r="B34">
        <v>6</v>
      </c>
      <c r="C34" t="s">
        <v>53</v>
      </c>
      <c r="D34">
        <v>2024</v>
      </c>
      <c r="E34">
        <v>4.5999999999999996</v>
      </c>
      <c r="F34">
        <v>14100</v>
      </c>
      <c r="G34">
        <v>118000</v>
      </c>
      <c r="H34">
        <v>0.88</v>
      </c>
      <c r="I34" t="s">
        <v>63</v>
      </c>
      <c r="J34" t="s">
        <v>64</v>
      </c>
    </row>
    <row r="35" spans="1:10" x14ac:dyDescent="0.3">
      <c r="A35" t="s">
        <v>19</v>
      </c>
      <c r="B35">
        <v>1</v>
      </c>
      <c r="C35" t="s">
        <v>54</v>
      </c>
      <c r="D35">
        <v>2025</v>
      </c>
      <c r="E35">
        <v>4.3</v>
      </c>
      <c r="F35">
        <v>9200</v>
      </c>
      <c r="G35">
        <v>85000</v>
      </c>
      <c r="H35">
        <v>0.8</v>
      </c>
      <c r="I35" t="s">
        <v>59</v>
      </c>
      <c r="J35" t="s">
        <v>65</v>
      </c>
    </row>
    <row r="36" spans="1:10" x14ac:dyDescent="0.3">
      <c r="A36" t="s">
        <v>19</v>
      </c>
      <c r="B36">
        <v>2</v>
      </c>
      <c r="C36" t="s">
        <v>55</v>
      </c>
      <c r="D36">
        <v>2026</v>
      </c>
      <c r="E36">
        <v>4.4000000000000004</v>
      </c>
      <c r="F36">
        <v>9700</v>
      </c>
      <c r="G36">
        <v>88000</v>
      </c>
      <c r="H36">
        <v>0.82</v>
      </c>
      <c r="I36" t="s">
        <v>59</v>
      </c>
      <c r="J36" t="s">
        <v>65</v>
      </c>
    </row>
    <row r="37" spans="1:10" x14ac:dyDescent="0.3">
      <c r="A37" t="s">
        <v>20</v>
      </c>
      <c r="B37">
        <v>1</v>
      </c>
      <c r="C37" t="s">
        <v>56</v>
      </c>
      <c r="D37">
        <v>2025</v>
      </c>
      <c r="E37">
        <v>4.2</v>
      </c>
      <c r="F37">
        <v>8900</v>
      </c>
      <c r="G37">
        <v>78000</v>
      </c>
      <c r="H37">
        <v>0.78</v>
      </c>
      <c r="I37" t="s">
        <v>59</v>
      </c>
      <c r="J37" t="s">
        <v>65</v>
      </c>
    </row>
    <row r="38" spans="1:10" x14ac:dyDescent="0.3">
      <c r="A38" t="s">
        <v>20</v>
      </c>
      <c r="B38">
        <v>2</v>
      </c>
      <c r="C38" t="s">
        <v>57</v>
      </c>
      <c r="D38">
        <v>2025</v>
      </c>
      <c r="E38">
        <v>4.3</v>
      </c>
      <c r="F38">
        <v>9100</v>
      </c>
      <c r="G38">
        <v>82000</v>
      </c>
      <c r="H38">
        <v>0.8</v>
      </c>
      <c r="I38" t="s">
        <v>59</v>
      </c>
      <c r="J38" t="s">
        <v>65</v>
      </c>
    </row>
    <row r="39" spans="1:10" x14ac:dyDescent="0.3">
      <c r="A39" t="s">
        <v>20</v>
      </c>
      <c r="B39">
        <v>3</v>
      </c>
      <c r="C39" t="s">
        <v>58</v>
      </c>
      <c r="D39">
        <v>2026</v>
      </c>
      <c r="E39">
        <v>4.4000000000000004</v>
      </c>
      <c r="F39">
        <v>9500</v>
      </c>
      <c r="G39">
        <v>86000</v>
      </c>
      <c r="H39">
        <v>0.82</v>
      </c>
      <c r="I39" t="s">
        <v>59</v>
      </c>
      <c r="J39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bindhu4604@gmail.com</cp:lastModifiedBy>
  <dcterms:created xsi:type="dcterms:W3CDTF">2025-10-06T15:00:47Z</dcterms:created>
  <dcterms:modified xsi:type="dcterms:W3CDTF">2025-10-07T07:34:26Z</dcterms:modified>
</cp:coreProperties>
</file>